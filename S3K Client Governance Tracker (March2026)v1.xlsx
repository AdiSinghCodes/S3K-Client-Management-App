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3ktechai-my.sharepoint.com/personal/hrishikesh_s3ktech_ai/Documents/S3K Technologies/8. Operations &amp; Delivery/0. Delivery - S3K Services/"/>
    </mc:Choice>
  </mc:AlternateContent>
  <xr:revisionPtr revIDLastSave="0" documentId="8_{FD37FBF0-CC38-420F-94A4-B848A9490876}" xr6:coauthVersionLast="47" xr6:coauthVersionMax="47" xr10:uidLastSave="{00000000-0000-0000-0000-000000000000}"/>
  <bookViews>
    <workbookView xWindow="-113" yWindow="-113" windowWidth="24267" windowHeight="13023" activeTab="6" xr2:uid="{F9985481-079E-40D1-96A6-2E21C0F40E06}"/>
  </bookViews>
  <sheets>
    <sheet name="Summary" sheetId="1" r:id="rId1"/>
    <sheet name="Sales" sheetId="6" r:id="rId2"/>
    <sheet name="AI Usecases Tracker" sheetId="4" r:id="rId3"/>
    <sheet name="AI Training Tracker" sheetId="5" r:id="rId4"/>
    <sheet name="Weekly Email Report" sheetId="2" r:id="rId5"/>
    <sheet name="Monthly Exec Review" sheetId="3" r:id="rId6"/>
    <sheet name="Cost Tracker" sheetId="7" r:id="rId7"/>
    <sheet name="Sheet8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" i="7" l="1"/>
  <c r="O6" i="7"/>
  <c r="N6" i="7"/>
  <c r="E6" i="7"/>
  <c r="I6" i="7"/>
  <c r="M6" i="7"/>
  <c r="J6" i="7"/>
  <c r="M5" i="7"/>
  <c r="E5" i="7"/>
  <c r="D5" i="7"/>
  <c r="B4" i="3"/>
  <c r="B5" i="3" s="1"/>
  <c r="B6" i="3" s="1"/>
  <c r="B7" i="3" s="1"/>
  <c r="B8" i="3" s="1"/>
  <c r="B9" i="3" s="1"/>
  <c r="B10" i="3" s="1"/>
  <c r="B11" i="3" s="1"/>
  <c r="B12" i="3" s="1"/>
  <c r="B13" i="3" s="1"/>
  <c r="B3" i="3"/>
  <c r="B4" i="2"/>
  <c r="B5" i="2"/>
  <c r="B6" i="2"/>
  <c r="B7" i="2"/>
  <c r="B8" i="2"/>
  <c r="B9" i="2"/>
  <c r="B10" i="2"/>
  <c r="B11" i="2"/>
  <c r="B3" i="2"/>
</calcChain>
</file>

<file path=xl/sharedStrings.xml><?xml version="1.0" encoding="utf-8"?>
<sst xmlns="http://schemas.openxmlformats.org/spreadsheetml/2006/main" count="289" uniqueCount="184">
  <si>
    <t>Client Name</t>
  </si>
  <si>
    <t>Tekman India Pvt Ltd</t>
  </si>
  <si>
    <t>Address</t>
  </si>
  <si>
    <t>Website</t>
  </si>
  <si>
    <t>About the Client</t>
  </si>
  <si>
    <t>&lt;400-500 words from their website&gt;</t>
  </si>
  <si>
    <t>Sunil Joshi</t>
  </si>
  <si>
    <t>About Client's Products</t>
  </si>
  <si>
    <t>Client Information</t>
  </si>
  <si>
    <t>Industry</t>
  </si>
  <si>
    <t>Manufacturing</t>
  </si>
  <si>
    <t>Sub Industry</t>
  </si>
  <si>
    <t>AI Exec Briefing &amp; Discovery Workshop</t>
  </si>
  <si>
    <t>S#1</t>
  </si>
  <si>
    <t>Lead Gen &amp; Sales Cycle Started</t>
  </si>
  <si>
    <t>Key Milestones</t>
  </si>
  <si>
    <t xml:space="preserve">Scope / Opportunity </t>
  </si>
  <si>
    <t>Value</t>
  </si>
  <si>
    <t>Status</t>
  </si>
  <si>
    <t>Comments</t>
  </si>
  <si>
    <t>Duration</t>
  </si>
  <si>
    <t>1 Day</t>
  </si>
  <si>
    <t>Completed</t>
  </si>
  <si>
    <t>In Person, Thane Client Office</t>
  </si>
  <si>
    <t>Hrishi, Rujuta met Sunil and Co through Prasad's connects</t>
  </si>
  <si>
    <t>AI COE</t>
  </si>
  <si>
    <t>12 Months</t>
  </si>
  <si>
    <t>In Progress</t>
  </si>
  <si>
    <t xml:space="preserve">1 FTE </t>
  </si>
  <si>
    <t>Key Leader #1</t>
  </si>
  <si>
    <t>Key Leader #2</t>
  </si>
  <si>
    <t>Key Leader #3</t>
  </si>
  <si>
    <t>Key Leader #4</t>
  </si>
  <si>
    <t>Key Leader #5</t>
  </si>
  <si>
    <t>Key Leader #6</t>
  </si>
  <si>
    <t>Prasad Jagtap</t>
  </si>
  <si>
    <t>Dir &amp; Head of Sales</t>
  </si>
  <si>
    <t>MD &amp; CEO</t>
  </si>
  <si>
    <t>Sujata Pawar</t>
  </si>
  <si>
    <t>Karishma Shetty</t>
  </si>
  <si>
    <t>CHRO, CMO, Admin</t>
  </si>
  <si>
    <t>CFO, Legal</t>
  </si>
  <si>
    <t>Sarita ??</t>
  </si>
  <si>
    <t>AI Champion #1</t>
  </si>
  <si>
    <t>AI Champion #2</t>
  </si>
  <si>
    <t>CIO/IT</t>
  </si>
  <si>
    <t>Vaishali ??</t>
  </si>
  <si>
    <t>Key Leader #7</t>
  </si>
  <si>
    <t>Year Incoporated</t>
  </si>
  <si>
    <t>&lt; fill &gt;</t>
  </si>
  <si>
    <t>&lt;200-300 words from their website&gt;</t>
  </si>
  <si>
    <t>Business Model</t>
  </si>
  <si>
    <t>Country of Inc</t>
  </si>
  <si>
    <t>India</t>
  </si>
  <si>
    <t>Entity Type</t>
  </si>
  <si>
    <t>Pvt Ltd</t>
  </si>
  <si>
    <t>Industrial Equipment Manufacturing</t>
  </si>
  <si>
    <t>Industries Served</t>
  </si>
  <si>
    <t>Top Customers</t>
  </si>
  <si>
    <t>Current Annual Turnover</t>
  </si>
  <si>
    <t>Markets</t>
  </si>
  <si>
    <t>Tip: India, UAE, etc</t>
  </si>
  <si>
    <t>Tip: B2B / B2C / OEM / Export-driven</t>
  </si>
  <si>
    <t>B2B</t>
  </si>
  <si>
    <t>Tech Ecosystem</t>
  </si>
  <si>
    <t>CRM</t>
  </si>
  <si>
    <t>Salesforce</t>
  </si>
  <si>
    <t>Approx 10 Seats</t>
  </si>
  <si>
    <t>ERP</t>
  </si>
  <si>
    <t>Finance</t>
  </si>
  <si>
    <t>Tally</t>
  </si>
  <si>
    <t>HRMS</t>
  </si>
  <si>
    <t>Cloud/Servers</t>
  </si>
  <si>
    <t>Office</t>
  </si>
  <si>
    <t>Microsoft 365</t>
  </si>
  <si>
    <t>Data/ML/AI</t>
  </si>
  <si>
    <t>PowerBI</t>
  </si>
  <si>
    <t>CoPilot</t>
  </si>
  <si>
    <t>IT Partner#1</t>
  </si>
  <si>
    <t>IT Partner#2</t>
  </si>
  <si>
    <t>IT Partner#3</t>
  </si>
  <si>
    <t>IT Partner#4</t>
  </si>
  <si>
    <t>IT Partner#5</t>
  </si>
  <si>
    <t>Leadership</t>
  </si>
  <si>
    <t>Segment Information</t>
  </si>
  <si>
    <t>Offices / Plants</t>
  </si>
  <si>
    <t>Thane, Baroda</t>
  </si>
  <si>
    <t>Key Business Priotities</t>
  </si>
  <si>
    <t>Growth from New Markets</t>
  </si>
  <si>
    <t>Growth from New Products</t>
  </si>
  <si>
    <t>Reduce Manpower Dependency</t>
  </si>
  <si>
    <t>Drive AI-led Transformation for Future</t>
  </si>
  <si>
    <t>IPO after 100 Cr Rev</t>
  </si>
  <si>
    <t>Succession Roadmap</t>
  </si>
  <si>
    <t>&lt;email&gt; | &lt;phone&gt; | Loc</t>
  </si>
  <si>
    <t>Key Decision Maker</t>
  </si>
  <si>
    <t>Key Decision Influencer</t>
  </si>
  <si>
    <t>Nominated as AI Champion for S3K</t>
  </si>
  <si>
    <t>Sr#</t>
  </si>
  <si>
    <t xml:space="preserve">USE CASES </t>
  </si>
  <si>
    <t>New Features Ideated</t>
  </si>
  <si>
    <t>Complexity</t>
  </si>
  <si>
    <t>Solution Category</t>
  </si>
  <si>
    <t>Department</t>
  </si>
  <si>
    <t>Ideation</t>
  </si>
  <si>
    <t xml:space="preserve">UAT </t>
  </si>
  <si>
    <t>Go-Live</t>
  </si>
  <si>
    <t>Tekman Infra</t>
  </si>
  <si>
    <t xml:space="preserve">Chatbot SOP documents. 
</t>
  </si>
  <si>
    <t>Add feature of Data Chat</t>
  </si>
  <si>
    <t>Med</t>
  </si>
  <si>
    <t>GenAI Conversational Knowledge Base Q&amp;A</t>
  </si>
  <si>
    <t>Entire Org</t>
  </si>
  <si>
    <t>Done</t>
  </si>
  <si>
    <t>April</t>
  </si>
  <si>
    <t>GST Recon</t>
  </si>
  <si>
    <t>Analytics, Email Action,
Search, Name
Chat with Data</t>
  </si>
  <si>
    <t>Complex</t>
  </si>
  <si>
    <t>SQL Based App, with GenAI features</t>
  </si>
  <si>
    <t>May</t>
  </si>
  <si>
    <t>Sales PowerBI Dashboard</t>
  </si>
  <si>
    <t xml:space="preserve">Data Visualization </t>
  </si>
  <si>
    <t>Sales</t>
  </si>
  <si>
    <t>Co-pilot Email Automation</t>
  </si>
  <si>
    <t xml:space="preserve">Low </t>
  </si>
  <si>
    <t>MS Power Automate</t>
  </si>
  <si>
    <t xml:space="preserve">Execs </t>
  </si>
  <si>
    <t>High Level</t>
  </si>
  <si>
    <t>Sales Quotation, trading</t>
  </si>
  <si>
    <t>TBD</t>
  </si>
  <si>
    <t>AI App</t>
  </si>
  <si>
    <t>Inside Sales</t>
  </si>
  <si>
    <t>To be Planned</t>
  </si>
  <si>
    <t>Project Planning Advisor</t>
  </si>
  <si>
    <t>V Complex</t>
  </si>
  <si>
    <t>Core MFG</t>
  </si>
  <si>
    <t>Financial Cost Analysis</t>
  </si>
  <si>
    <t>Market Research</t>
  </si>
  <si>
    <t>Product R&amp;D Development</t>
  </si>
  <si>
    <t>Deep Research Prompt</t>
  </si>
  <si>
    <t>R&amp;D</t>
  </si>
  <si>
    <t>Link to EPICS/USER STORIES App</t>
  </si>
  <si>
    <t>JIRA or TBD</t>
  </si>
  <si>
    <t>Design &amp; Dev</t>
  </si>
  <si>
    <t>Part of the 1Lac/PM deal</t>
  </si>
  <si>
    <t>Date</t>
  </si>
  <si>
    <t xml:space="preserve">Email Body </t>
  </si>
  <si>
    <t>Attach Table</t>
  </si>
  <si>
    <t>From AI Usecases Tracker Tab, 
Training Tab</t>
  </si>
  <si>
    <t>Sent of Time</t>
  </si>
  <si>
    <t>Who</t>
  </si>
  <si>
    <t>Sameer Sawardekar</t>
  </si>
  <si>
    <t xml:space="preserve">Subject: Weekly AI COE Progress Report | Tekman (Week of 27-March-2026)
Dear [Client Name / Team],
Please find below the weekly update on AI use case development and training progress for the week.
Key highlights:
[1-line achievement: e.g., 2 AI use cases moved to prototype stage]
[1-line training update: e.g., Completed GenAI fundamentals for 25 users]
[1-line impact: e.g., Identified ~15–20% efficiency opportunity]
Kindly review the updates and share your inputs, especially on the decisions required section.
Regards,
</t>
  </si>
  <si>
    <t>Agenda</t>
  </si>
  <si>
    <t>Attendees</t>
  </si>
  <si>
    <t>Location</t>
  </si>
  <si>
    <t>Key CTAs</t>
  </si>
  <si>
    <t>Key Minutes</t>
  </si>
  <si>
    <t>Neha Phadke</t>
  </si>
  <si>
    <t>Weekly Comments</t>
  </si>
  <si>
    <t>&lt;Make 7-8 Phases? / AI used / Tools</t>
  </si>
  <si>
    <t>Days</t>
  </si>
  <si>
    <t>Scope Delivered</t>
  </si>
  <si>
    <t>Revenue Accrued</t>
  </si>
  <si>
    <t>Sales Meetings</t>
  </si>
  <si>
    <t>6 months</t>
  </si>
  <si>
    <t>Jul25 to Feb 26</t>
  </si>
  <si>
    <t>Dates</t>
  </si>
  <si>
    <t>&lt;Check from Neesha, for Claims&gt;</t>
  </si>
  <si>
    <t>Cost | Travel, Etc</t>
  </si>
  <si>
    <t>Cost | Licenses, if any</t>
  </si>
  <si>
    <t>Cost | Ext Freelancer, if any</t>
  </si>
  <si>
    <t>Cost | Full Time Resources</t>
  </si>
  <si>
    <t>&lt;eg: Salary of Deepak 100%, 50% Armaan&gt;</t>
  </si>
  <si>
    <t>Cost | Part Time Resources</t>
  </si>
  <si>
    <t>India Based</t>
  </si>
  <si>
    <t>US Based</t>
  </si>
  <si>
    <t>&lt;TBD&gt;</t>
  </si>
  <si>
    <t>Take 1100 Rs/Hr Cost</t>
  </si>
  <si>
    <t>Take 2200 Rs/Hr Cost</t>
  </si>
  <si>
    <t>Hours/Month</t>
  </si>
  <si>
    <t>Total Cost</t>
  </si>
  <si>
    <t>GM</t>
  </si>
  <si>
    <t>GM%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</si>
</sst>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5" formatCode="[$-409]dd\-mmm\-yy;@"/>
    <numFmt numFmtId="170" formatCode="[$-F800]dddd\,\ mmmm\ dd\,\ yyyy"/>
    <numFmt numFmtId="172" formatCode="[$-409]mmmm\-yy;@"/>
    <numFmt numFmtId="173" formatCode="[$-409]mmm\-yy;@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2"/>
    </font>
    <font>
      <b/>
      <sz val="12"/>
      <color theme="0"/>
      <name val="Calibri"/>
      <family val="2"/>
    </font>
    <font>
      <sz val="8"/>
      <name val="Aptos Narrow"/>
      <family val="2"/>
      <scheme val="minor"/>
    </font>
    <font>
      <sz val="11"/>
      <color rgb="FF0070C0"/>
      <name val="Calibri"/>
      <family val="2"/>
    </font>
    <font>
      <sz val="10"/>
      <color theme="1"/>
      <name val="Calibri"/>
      <family val="2"/>
    </font>
    <font>
      <sz val="10"/>
      <color rgb="FF0070C0"/>
      <name val="Calibri"/>
      <family val="2"/>
    </font>
    <font>
      <u/>
      <sz val="10"/>
      <color theme="1"/>
      <name val="Calibri"/>
      <family val="2"/>
    </font>
    <font>
      <sz val="10"/>
      <color theme="1"/>
      <name val="Aptos Narrow"/>
      <family val="2"/>
      <scheme val="minor"/>
    </font>
    <font>
      <b/>
      <sz val="10"/>
      <color theme="0"/>
      <name val="Calibri"/>
      <family val="2"/>
    </font>
    <font>
      <b/>
      <sz val="10"/>
      <color theme="1"/>
      <name val="Calibri"/>
      <family val="2"/>
    </font>
    <font>
      <i/>
      <sz val="10"/>
      <color rgb="FF0070C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0">
    <xf numFmtId="0" fontId="0" fillId="0" borderId="0" xfId="0"/>
    <xf numFmtId="0" fontId="2" fillId="0" borderId="0" xfId="0" applyFont="1"/>
    <xf numFmtId="0" fontId="2" fillId="2" borderId="0" xfId="0" applyFont="1" applyFill="1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43" fontId="3" fillId="0" borderId="0" xfId="1" applyFont="1" applyAlignment="1">
      <alignment horizontal="center" vertical="center"/>
    </xf>
    <xf numFmtId="43" fontId="3" fillId="0" borderId="0" xfId="1" applyFont="1" applyAlignment="1">
      <alignment horizontal="center"/>
    </xf>
    <xf numFmtId="165" fontId="3" fillId="0" borderId="0" xfId="0" applyNumberFormat="1" applyFont="1" applyAlignment="1">
      <alignment horizontal="center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7" fillId="3" borderId="0" xfId="0" applyFont="1" applyFill="1"/>
    <xf numFmtId="0" fontId="8" fillId="3" borderId="0" xfId="0" applyFont="1" applyFill="1"/>
    <xf numFmtId="0" fontId="7" fillId="4" borderId="0" xfId="0" applyFont="1" applyFill="1"/>
    <xf numFmtId="0" fontId="4" fillId="3" borderId="0" xfId="0" applyFont="1" applyFill="1" applyAlignment="1">
      <alignment horizontal="center" vertical="center"/>
    </xf>
    <xf numFmtId="0" fontId="12" fillId="0" borderId="1" xfId="0" applyFont="1" applyBorder="1" applyAlignment="1">
      <alignment horizontal="center" vertical="top" wrapText="1"/>
    </xf>
    <xf numFmtId="0" fontId="12" fillId="0" borderId="1" xfId="0" applyFont="1" applyBorder="1" applyAlignment="1">
      <alignment vertical="top" wrapText="1"/>
    </xf>
    <xf numFmtId="0" fontId="7" fillId="0" borderId="1" xfId="0" applyFont="1" applyBorder="1" applyAlignment="1">
      <alignment horizontal="center" vertical="top"/>
    </xf>
    <xf numFmtId="0" fontId="7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/>
    </xf>
    <xf numFmtId="0" fontId="7" fillId="5" borderId="1" xfId="0" applyFont="1" applyFill="1" applyBorder="1" applyAlignment="1">
      <alignment vertical="top"/>
    </xf>
    <xf numFmtId="0" fontId="7" fillId="6" borderId="1" xfId="0" applyFont="1" applyFill="1" applyBorder="1" applyAlignment="1">
      <alignment vertical="top"/>
    </xf>
    <xf numFmtId="0" fontId="7" fillId="0" borderId="0" xfId="0" applyFont="1" applyAlignment="1">
      <alignment vertical="top"/>
    </xf>
    <xf numFmtId="0" fontId="2" fillId="0" borderId="0" xfId="0" applyFont="1" applyAlignment="1">
      <alignment horizontal="center"/>
    </xf>
    <xf numFmtId="0" fontId="11" fillId="3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top" wrapText="1"/>
    </xf>
    <xf numFmtId="0" fontId="4" fillId="3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center" vertical="top"/>
    </xf>
    <xf numFmtId="170" fontId="7" fillId="0" borderId="0" xfId="0" applyNumberFormat="1" applyFont="1" applyAlignment="1">
      <alignment horizontal="center" vertical="top"/>
    </xf>
    <xf numFmtId="170" fontId="7" fillId="0" borderId="0" xfId="0" applyNumberFormat="1" applyFont="1" applyAlignment="1">
      <alignment horizontal="left" vertical="top"/>
    </xf>
    <xf numFmtId="0" fontId="11" fillId="3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center" vertical="center" wrapText="1"/>
    </xf>
    <xf numFmtId="0" fontId="10" fillId="0" borderId="0" xfId="0" applyFont="1" applyAlignment="1">
      <alignment horizontal="center"/>
    </xf>
    <xf numFmtId="172" fontId="7" fillId="0" borderId="0" xfId="0" applyNumberFormat="1" applyFont="1" applyAlignment="1">
      <alignment horizontal="left" vertical="top"/>
    </xf>
    <xf numFmtId="173" fontId="7" fillId="0" borderId="0" xfId="0" applyNumberFormat="1" applyFont="1" applyAlignment="1">
      <alignment horizontal="left" vertical="top"/>
    </xf>
    <xf numFmtId="0" fontId="11" fillId="3" borderId="0" xfId="0" applyFont="1" applyFill="1" applyAlignment="1">
      <alignment horizontal="center" vertical="top"/>
    </xf>
    <xf numFmtId="0" fontId="11" fillId="3" borderId="0" xfId="0" applyFont="1" applyFill="1" applyAlignment="1">
      <alignment horizontal="center" vertical="top" wrapText="1"/>
    </xf>
    <xf numFmtId="0" fontId="0" fillId="0" borderId="0" xfId="0" applyAlignment="1">
      <alignment vertical="top"/>
    </xf>
    <xf numFmtId="0" fontId="13" fillId="0" borderId="0" xfId="0" applyFont="1" applyAlignment="1">
      <alignment horizontal="center" vertical="top"/>
    </xf>
    <xf numFmtId="43" fontId="7" fillId="0" borderId="0" xfId="0" applyNumberFormat="1" applyFont="1" applyAlignment="1">
      <alignment vertical="top"/>
    </xf>
    <xf numFmtId="0" fontId="8" fillId="0" borderId="0" xfId="0" applyFont="1" applyAlignment="1">
      <alignment vertical="top" wrapText="1"/>
    </xf>
    <xf numFmtId="0" fontId="0" fillId="0" borderId="0" xfId="0" applyAlignment="1">
      <alignment horizontal="center" vertical="top"/>
    </xf>
    <xf numFmtId="0" fontId="0" fillId="0" borderId="0" xfId="0" applyAlignment="1">
      <alignment vertical="top" wrapText="1"/>
    </xf>
    <xf numFmtId="0" fontId="11" fillId="3" borderId="0" xfId="0" applyFont="1" applyFill="1" applyAlignment="1">
      <alignment horizontal="center" vertical="top" wrapText="1"/>
    </xf>
    <xf numFmtId="9" fontId="7" fillId="0" borderId="0" xfId="2" applyFont="1" applyAlignment="1">
      <alignment vertical="top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97DB8-5B75-416D-B383-7009918ED16D}">
  <dimension ref="A1:E36"/>
  <sheetViews>
    <sheetView topLeftCell="A7" zoomScale="115" zoomScaleNormal="115" workbookViewId="0">
      <selection activeCell="B22" sqref="B22"/>
    </sheetView>
  </sheetViews>
  <sheetFormatPr defaultRowHeight="13.15" x14ac:dyDescent="0.25"/>
  <cols>
    <col min="1" max="1" width="23.109375" style="12" customWidth="1"/>
    <col min="2" max="5" width="29.33203125" style="12" customWidth="1"/>
    <col min="6" max="16384" width="8.88671875" style="12"/>
  </cols>
  <sheetData>
    <row r="1" spans="1:5" x14ac:dyDescent="0.25">
      <c r="A1" s="16" t="s">
        <v>84</v>
      </c>
      <c r="B1" s="16"/>
      <c r="C1" s="16"/>
      <c r="D1" s="17"/>
      <c r="E1" s="16"/>
    </row>
    <row r="2" spans="1:5" x14ac:dyDescent="0.25">
      <c r="A2" s="12" t="s">
        <v>9</v>
      </c>
      <c r="B2" s="12" t="s">
        <v>10</v>
      </c>
      <c r="C2" s="12" t="s">
        <v>11</v>
      </c>
      <c r="D2" s="13" t="s">
        <v>56</v>
      </c>
    </row>
    <row r="3" spans="1:5" x14ac:dyDescent="0.25">
      <c r="A3" s="12" t="s">
        <v>52</v>
      </c>
      <c r="B3" s="12" t="s">
        <v>53</v>
      </c>
      <c r="C3" s="12" t="s">
        <v>48</v>
      </c>
      <c r="D3" s="13" t="s">
        <v>49</v>
      </c>
    </row>
    <row r="4" spans="1:5" x14ac:dyDescent="0.25">
      <c r="D4" s="13"/>
    </row>
    <row r="5" spans="1:5" s="14" customFormat="1" x14ac:dyDescent="0.25">
      <c r="A5" s="16" t="s">
        <v>8</v>
      </c>
      <c r="B5" s="16"/>
      <c r="C5" s="16"/>
      <c r="D5" s="17"/>
      <c r="E5" s="16"/>
    </row>
    <row r="6" spans="1:5" x14ac:dyDescent="0.25">
      <c r="A6" s="12" t="s">
        <v>0</v>
      </c>
      <c r="B6" s="12" t="s">
        <v>1</v>
      </c>
    </row>
    <row r="7" spans="1:5" x14ac:dyDescent="0.25">
      <c r="A7" s="12" t="s">
        <v>54</v>
      </c>
      <c r="B7" s="12" t="s">
        <v>55</v>
      </c>
      <c r="C7" s="12" t="s">
        <v>60</v>
      </c>
      <c r="D7" s="13" t="s">
        <v>49</v>
      </c>
      <c r="E7" s="12" t="s">
        <v>61</v>
      </c>
    </row>
    <row r="8" spans="1:5" x14ac:dyDescent="0.25">
      <c r="A8" s="12" t="s">
        <v>2</v>
      </c>
      <c r="B8" s="13" t="s">
        <v>49</v>
      </c>
      <c r="C8" s="12" t="s">
        <v>51</v>
      </c>
      <c r="D8" s="13" t="s">
        <v>63</v>
      </c>
      <c r="E8" s="12" t="s">
        <v>62</v>
      </c>
    </row>
    <row r="9" spans="1:5" x14ac:dyDescent="0.25">
      <c r="A9" s="12" t="s">
        <v>3</v>
      </c>
      <c r="B9" s="13" t="s">
        <v>49</v>
      </c>
      <c r="C9" s="12" t="s">
        <v>57</v>
      </c>
      <c r="D9" s="13" t="s">
        <v>10</v>
      </c>
    </row>
    <row r="10" spans="1:5" x14ac:dyDescent="0.25">
      <c r="A10" s="12" t="s">
        <v>59</v>
      </c>
      <c r="B10" s="13" t="s">
        <v>49</v>
      </c>
      <c r="C10" s="12" t="s">
        <v>58</v>
      </c>
      <c r="D10" s="13" t="s">
        <v>49</v>
      </c>
    </row>
    <row r="11" spans="1:5" x14ac:dyDescent="0.25">
      <c r="A11" s="12" t="s">
        <v>85</v>
      </c>
      <c r="B11" s="12" t="s">
        <v>86</v>
      </c>
      <c r="D11" s="13"/>
    </row>
    <row r="12" spans="1:5" x14ac:dyDescent="0.25">
      <c r="A12" s="12" t="s">
        <v>4</v>
      </c>
      <c r="B12" s="13" t="s">
        <v>50</v>
      </c>
      <c r="C12" s="12" t="s">
        <v>7</v>
      </c>
      <c r="D12" s="13" t="s">
        <v>5</v>
      </c>
    </row>
    <row r="14" spans="1:5" x14ac:dyDescent="0.25">
      <c r="A14" s="12" t="s">
        <v>87</v>
      </c>
      <c r="B14" s="13" t="s">
        <v>88</v>
      </c>
      <c r="C14" s="13" t="s">
        <v>89</v>
      </c>
      <c r="D14" s="13" t="s">
        <v>92</v>
      </c>
      <c r="E14" s="13" t="s">
        <v>49</v>
      </c>
    </row>
    <row r="15" spans="1:5" x14ac:dyDescent="0.25">
      <c r="B15" s="13" t="s">
        <v>90</v>
      </c>
      <c r="C15" s="13" t="s">
        <v>91</v>
      </c>
      <c r="D15" s="13" t="s">
        <v>93</v>
      </c>
      <c r="E15" s="13" t="s">
        <v>49</v>
      </c>
    </row>
    <row r="16" spans="1:5" x14ac:dyDescent="0.25">
      <c r="D16" s="13"/>
    </row>
    <row r="17" spans="1:5" x14ac:dyDescent="0.25">
      <c r="A17" s="16" t="s">
        <v>83</v>
      </c>
      <c r="B17" s="16"/>
      <c r="C17" s="16"/>
      <c r="D17" s="17"/>
      <c r="E17" s="16"/>
    </row>
    <row r="18" spans="1:5" x14ac:dyDescent="0.25">
      <c r="A18" s="12" t="s">
        <v>29</v>
      </c>
      <c r="B18" s="12" t="s">
        <v>6</v>
      </c>
      <c r="C18" s="18" t="s">
        <v>37</v>
      </c>
      <c r="D18" s="12" t="s">
        <v>94</v>
      </c>
      <c r="E18" s="12" t="s">
        <v>95</v>
      </c>
    </row>
    <row r="19" spans="1:5" x14ac:dyDescent="0.25">
      <c r="A19" s="12" t="s">
        <v>30</v>
      </c>
      <c r="B19" s="12" t="s">
        <v>35</v>
      </c>
      <c r="C19" s="12" t="s">
        <v>36</v>
      </c>
      <c r="D19" s="12" t="s">
        <v>94</v>
      </c>
      <c r="E19" s="12" t="s">
        <v>96</v>
      </c>
    </row>
    <row r="20" spans="1:5" x14ac:dyDescent="0.25">
      <c r="A20" s="12" t="s">
        <v>31</v>
      </c>
      <c r="B20" s="12" t="s">
        <v>39</v>
      </c>
      <c r="C20" s="12" t="s">
        <v>41</v>
      </c>
      <c r="D20" s="12" t="s">
        <v>94</v>
      </c>
      <c r="E20" s="12" t="s">
        <v>96</v>
      </c>
    </row>
    <row r="21" spans="1:5" x14ac:dyDescent="0.25">
      <c r="A21" s="12" t="s">
        <v>32</v>
      </c>
      <c r="B21" s="12" t="s">
        <v>158</v>
      </c>
      <c r="C21" s="12" t="s">
        <v>40</v>
      </c>
      <c r="D21" s="12" t="s">
        <v>94</v>
      </c>
    </row>
    <row r="22" spans="1:5" x14ac:dyDescent="0.25">
      <c r="A22" s="12" t="s">
        <v>33</v>
      </c>
      <c r="B22" s="12" t="s">
        <v>38</v>
      </c>
      <c r="C22" s="18" t="s">
        <v>43</v>
      </c>
      <c r="D22" s="12" t="s">
        <v>94</v>
      </c>
      <c r="E22" s="12" t="s">
        <v>97</v>
      </c>
    </row>
    <row r="23" spans="1:5" x14ac:dyDescent="0.25">
      <c r="A23" s="12" t="s">
        <v>34</v>
      </c>
      <c r="B23" s="12" t="s">
        <v>42</v>
      </c>
      <c r="C23" s="12" t="s">
        <v>44</v>
      </c>
      <c r="D23" s="12" t="s">
        <v>94</v>
      </c>
      <c r="E23" s="12" t="s">
        <v>97</v>
      </c>
    </row>
    <row r="24" spans="1:5" x14ac:dyDescent="0.25">
      <c r="A24" s="12" t="s">
        <v>47</v>
      </c>
      <c r="B24" s="12" t="s">
        <v>46</v>
      </c>
      <c r="C24" s="12" t="s">
        <v>45</v>
      </c>
      <c r="D24" s="12" t="s">
        <v>94</v>
      </c>
    </row>
    <row r="27" spans="1:5" x14ac:dyDescent="0.25">
      <c r="A27" s="16" t="s">
        <v>64</v>
      </c>
      <c r="B27" s="16"/>
      <c r="C27" s="16"/>
      <c r="D27" s="17"/>
      <c r="E27" s="16"/>
    </row>
    <row r="28" spans="1:5" x14ac:dyDescent="0.25">
      <c r="A28" s="12" t="s">
        <v>65</v>
      </c>
      <c r="B28" s="12" t="s">
        <v>66</v>
      </c>
      <c r="C28" s="12" t="s">
        <v>67</v>
      </c>
      <c r="D28" s="12" t="s">
        <v>78</v>
      </c>
      <c r="E28" s="13" t="s">
        <v>49</v>
      </c>
    </row>
    <row r="29" spans="1:5" x14ac:dyDescent="0.25">
      <c r="A29" s="12" t="s">
        <v>68</v>
      </c>
      <c r="B29" s="13" t="s">
        <v>49</v>
      </c>
      <c r="D29" s="12" t="s">
        <v>79</v>
      </c>
      <c r="E29" s="13" t="s">
        <v>49</v>
      </c>
    </row>
    <row r="30" spans="1:5" x14ac:dyDescent="0.25">
      <c r="A30" s="12" t="s">
        <v>72</v>
      </c>
      <c r="B30" s="13" t="s">
        <v>49</v>
      </c>
      <c r="D30" s="12" t="s">
        <v>80</v>
      </c>
      <c r="E30" s="13" t="s">
        <v>49</v>
      </c>
    </row>
    <row r="31" spans="1:5" x14ac:dyDescent="0.25">
      <c r="A31" s="12" t="s">
        <v>69</v>
      </c>
      <c r="B31" s="12" t="s">
        <v>70</v>
      </c>
      <c r="D31" s="12" t="s">
        <v>81</v>
      </c>
      <c r="E31" s="13" t="s">
        <v>49</v>
      </c>
    </row>
    <row r="32" spans="1:5" x14ac:dyDescent="0.25">
      <c r="A32" s="12" t="s">
        <v>71</v>
      </c>
      <c r="B32" s="13" t="s">
        <v>49</v>
      </c>
      <c r="D32" s="12" t="s">
        <v>82</v>
      </c>
      <c r="E32" s="13" t="s">
        <v>49</v>
      </c>
    </row>
    <row r="33" spans="1:5" x14ac:dyDescent="0.25">
      <c r="A33" s="12" t="s">
        <v>73</v>
      </c>
      <c r="B33" s="12" t="s">
        <v>74</v>
      </c>
      <c r="E33" s="13"/>
    </row>
    <row r="34" spans="1:5" x14ac:dyDescent="0.25">
      <c r="A34" s="12" t="s">
        <v>75</v>
      </c>
      <c r="B34" s="12" t="s">
        <v>76</v>
      </c>
      <c r="E34" s="13"/>
    </row>
    <row r="35" spans="1:5" x14ac:dyDescent="0.25">
      <c r="B35" s="12" t="s">
        <v>77</v>
      </c>
      <c r="E35" s="13"/>
    </row>
    <row r="36" spans="1:5" x14ac:dyDescent="0.25">
      <c r="B36" s="13" t="s">
        <v>49</v>
      </c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0C23A-3678-4932-962F-7CACE348CB85}">
  <dimension ref="A1:G19"/>
  <sheetViews>
    <sheetView workbookViewId="0">
      <selection activeCell="E14" sqref="E14"/>
    </sheetView>
  </sheetViews>
  <sheetFormatPr defaultRowHeight="15.65" x14ac:dyDescent="0.3"/>
  <cols>
    <col min="1" max="1" width="11.5546875" style="4" customWidth="1"/>
    <col min="2" max="2" width="35" style="7" bestFit="1" customWidth="1"/>
    <col min="3" max="6" width="22.33203125" style="4" customWidth="1"/>
    <col min="7" max="7" width="51.44140625" style="3" bestFit="1" customWidth="1"/>
    <col min="8" max="8" width="16.77734375" style="3" customWidth="1"/>
    <col min="9" max="16384" width="8.88671875" style="3"/>
  </cols>
  <sheetData>
    <row r="1" spans="1:7" s="5" customFormat="1" x14ac:dyDescent="0.3">
      <c r="A1" s="19" t="s">
        <v>13</v>
      </c>
      <c r="B1" s="19" t="s">
        <v>16</v>
      </c>
      <c r="C1" s="19" t="s">
        <v>20</v>
      </c>
      <c r="D1" s="19" t="s">
        <v>17</v>
      </c>
      <c r="E1" s="19" t="s">
        <v>18</v>
      </c>
      <c r="F1" s="19" t="s">
        <v>15</v>
      </c>
      <c r="G1" s="19" t="s">
        <v>19</v>
      </c>
    </row>
    <row r="2" spans="1:7" s="5" customFormat="1" x14ac:dyDescent="0.3">
      <c r="A2" s="5">
        <v>0</v>
      </c>
      <c r="B2" s="6" t="s">
        <v>14</v>
      </c>
      <c r="D2" s="8">
        <v>0</v>
      </c>
      <c r="F2" s="10">
        <v>45824</v>
      </c>
      <c r="G2" s="6" t="s">
        <v>24</v>
      </c>
    </row>
    <row r="3" spans="1:7" x14ac:dyDescent="0.3">
      <c r="A3" s="4">
        <v>1</v>
      </c>
      <c r="B3" s="7" t="s">
        <v>12</v>
      </c>
      <c r="C3" s="4" t="s">
        <v>21</v>
      </c>
      <c r="D3" s="9">
        <v>100000</v>
      </c>
      <c r="E3" s="4" t="s">
        <v>22</v>
      </c>
      <c r="F3" s="10">
        <v>46076</v>
      </c>
      <c r="G3" s="7" t="s">
        <v>23</v>
      </c>
    </row>
    <row r="4" spans="1:7" x14ac:dyDescent="0.3">
      <c r="A4" s="4">
        <v>2</v>
      </c>
      <c r="B4" s="7" t="s">
        <v>25</v>
      </c>
      <c r="C4" s="4" t="s">
        <v>26</v>
      </c>
      <c r="D4" s="9">
        <v>1200000</v>
      </c>
      <c r="E4" s="4" t="s">
        <v>27</v>
      </c>
      <c r="F4" s="10">
        <v>46097</v>
      </c>
      <c r="G4" s="7" t="s">
        <v>28</v>
      </c>
    </row>
    <row r="5" spans="1:7" x14ac:dyDescent="0.3">
      <c r="D5" s="9"/>
      <c r="F5" s="10"/>
      <c r="G5" s="7"/>
    </row>
    <row r="6" spans="1:7" x14ac:dyDescent="0.3">
      <c r="D6" s="9"/>
      <c r="F6" s="10"/>
      <c r="G6" s="7"/>
    </row>
    <row r="7" spans="1:7" x14ac:dyDescent="0.3">
      <c r="D7" s="9"/>
      <c r="F7" s="10"/>
      <c r="G7" s="7"/>
    </row>
    <row r="8" spans="1:7" x14ac:dyDescent="0.3">
      <c r="D8" s="9"/>
      <c r="F8" s="10"/>
      <c r="G8" s="7"/>
    </row>
    <row r="9" spans="1:7" x14ac:dyDescent="0.3">
      <c r="D9" s="9"/>
      <c r="F9" s="10"/>
      <c r="G9" s="7"/>
    </row>
    <row r="10" spans="1:7" x14ac:dyDescent="0.3">
      <c r="D10" s="9"/>
      <c r="F10" s="10"/>
      <c r="G10" s="7"/>
    </row>
    <row r="11" spans="1:7" x14ac:dyDescent="0.3">
      <c r="D11" s="9"/>
      <c r="F11" s="10"/>
      <c r="G11" s="7"/>
    </row>
    <row r="12" spans="1:7" x14ac:dyDescent="0.3">
      <c r="D12" s="9"/>
      <c r="F12" s="10"/>
      <c r="G12" s="7"/>
    </row>
    <row r="13" spans="1:7" x14ac:dyDescent="0.3">
      <c r="D13" s="9"/>
      <c r="F13" s="10"/>
      <c r="G13" s="7"/>
    </row>
    <row r="14" spans="1:7" x14ac:dyDescent="0.3">
      <c r="D14" s="9"/>
      <c r="F14" s="10"/>
      <c r="G14" s="7"/>
    </row>
    <row r="15" spans="1:7" x14ac:dyDescent="0.3">
      <c r="D15" s="9"/>
      <c r="G15" s="7"/>
    </row>
    <row r="16" spans="1:7" x14ac:dyDescent="0.3">
      <c r="D16" s="9"/>
      <c r="G16" s="7"/>
    </row>
    <row r="17" spans="4:7" x14ac:dyDescent="0.3">
      <c r="D17" s="9"/>
      <c r="G17" s="7"/>
    </row>
    <row r="18" spans="4:7" x14ac:dyDescent="0.3">
      <c r="D18" s="9"/>
      <c r="G18" s="7"/>
    </row>
    <row r="19" spans="4:7" x14ac:dyDescent="0.3">
      <c r="D19" s="9"/>
      <c r="G19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7B46C-E653-4D4D-9D41-1F39BADB01CB}">
  <dimension ref="A1:L13"/>
  <sheetViews>
    <sheetView workbookViewId="0">
      <selection activeCell="L1" sqref="L1"/>
    </sheetView>
  </sheetViews>
  <sheetFormatPr defaultRowHeight="15.05" x14ac:dyDescent="0.3"/>
  <cols>
    <col min="1" max="1" width="5" style="1" customWidth="1"/>
    <col min="2" max="2" width="20" style="1" bestFit="1" customWidth="1"/>
    <col min="3" max="3" width="18.44140625" style="1" bestFit="1" customWidth="1"/>
    <col min="4" max="4" width="9.5546875" style="1" customWidth="1"/>
    <col min="5" max="5" width="28.77734375" style="1" bestFit="1" customWidth="1"/>
    <col min="6" max="6" width="11.109375" style="1" customWidth="1"/>
    <col min="7" max="7" width="13.77734375" style="1" customWidth="1"/>
    <col min="8" max="8" width="13.109375" style="1" customWidth="1"/>
    <col min="9" max="10" width="13.109375" style="28" customWidth="1"/>
    <col min="11" max="12" width="29.33203125" style="1" customWidth="1"/>
    <col min="13" max="16384" width="8.88671875" style="1"/>
  </cols>
  <sheetData>
    <row r="1" spans="1:12" ht="23.8" customHeight="1" x14ac:dyDescent="0.3">
      <c r="A1" s="29" t="s">
        <v>98</v>
      </c>
      <c r="B1" s="29" t="s">
        <v>99</v>
      </c>
      <c r="C1" s="29" t="s">
        <v>100</v>
      </c>
      <c r="D1" s="29" t="s">
        <v>101</v>
      </c>
      <c r="E1" s="29" t="s">
        <v>102</v>
      </c>
      <c r="F1" s="29" t="s">
        <v>103</v>
      </c>
      <c r="G1" s="29" t="s">
        <v>104</v>
      </c>
      <c r="H1" s="29" t="s">
        <v>143</v>
      </c>
      <c r="I1" s="29" t="s">
        <v>105</v>
      </c>
      <c r="J1" s="29" t="s">
        <v>106</v>
      </c>
      <c r="K1" s="29" t="s">
        <v>159</v>
      </c>
      <c r="L1" s="2" t="s">
        <v>160</v>
      </c>
    </row>
    <row r="2" spans="1:12" x14ac:dyDescent="0.3">
      <c r="A2" s="20">
        <v>0</v>
      </c>
      <c r="B2" s="21" t="s">
        <v>107</v>
      </c>
      <c r="C2" s="21"/>
      <c r="D2" s="21"/>
      <c r="E2" s="21"/>
      <c r="F2" s="21"/>
      <c r="G2" s="21"/>
      <c r="H2" s="21"/>
      <c r="I2" s="20"/>
      <c r="J2" s="20"/>
    </row>
    <row r="3" spans="1:12" ht="26.3" x14ac:dyDescent="0.3">
      <c r="A3" s="22">
        <v>1</v>
      </c>
      <c r="B3" s="23" t="s">
        <v>108</v>
      </c>
      <c r="C3" s="23" t="s">
        <v>109</v>
      </c>
      <c r="D3" s="24" t="s">
        <v>110</v>
      </c>
      <c r="E3" s="23" t="s">
        <v>111</v>
      </c>
      <c r="F3" s="24" t="s">
        <v>112</v>
      </c>
      <c r="G3" s="25" t="s">
        <v>113</v>
      </c>
      <c r="H3" s="25" t="s">
        <v>113</v>
      </c>
      <c r="I3" s="22" t="s">
        <v>114</v>
      </c>
      <c r="J3" s="22" t="s">
        <v>114</v>
      </c>
    </row>
    <row r="4" spans="1:12" ht="39.450000000000003" x14ac:dyDescent="0.3">
      <c r="A4" s="22">
        <v>2</v>
      </c>
      <c r="B4" s="24" t="s">
        <v>115</v>
      </c>
      <c r="C4" s="23" t="s">
        <v>116</v>
      </c>
      <c r="D4" s="24" t="s">
        <v>117</v>
      </c>
      <c r="E4" s="23" t="s">
        <v>118</v>
      </c>
      <c r="F4" s="24" t="s">
        <v>69</v>
      </c>
      <c r="G4" s="25" t="s">
        <v>113</v>
      </c>
      <c r="H4" s="25" t="s">
        <v>113</v>
      </c>
      <c r="I4" s="22"/>
      <c r="J4" s="22" t="s">
        <v>119</v>
      </c>
    </row>
    <row r="5" spans="1:12" x14ac:dyDescent="0.3">
      <c r="A5" s="22">
        <v>3</v>
      </c>
      <c r="B5" s="24" t="s">
        <v>120</v>
      </c>
      <c r="C5" s="24"/>
      <c r="D5" s="24" t="s">
        <v>110</v>
      </c>
      <c r="E5" s="24" t="s">
        <v>121</v>
      </c>
      <c r="F5" s="24" t="s">
        <v>122</v>
      </c>
      <c r="G5" s="25" t="s">
        <v>27</v>
      </c>
      <c r="H5" s="25" t="s">
        <v>114</v>
      </c>
      <c r="I5" s="22" t="s">
        <v>114</v>
      </c>
      <c r="J5" s="22" t="s">
        <v>114</v>
      </c>
    </row>
    <row r="6" spans="1:12" x14ac:dyDescent="0.3">
      <c r="A6" s="22">
        <v>4</v>
      </c>
      <c r="B6" s="24" t="s">
        <v>123</v>
      </c>
      <c r="C6" s="24"/>
      <c r="D6" s="24" t="s">
        <v>124</v>
      </c>
      <c r="E6" s="24" t="s">
        <v>125</v>
      </c>
      <c r="F6" s="24" t="s">
        <v>126</v>
      </c>
      <c r="G6" s="26" t="s">
        <v>127</v>
      </c>
      <c r="H6" s="24"/>
      <c r="I6" s="22"/>
      <c r="J6" s="22"/>
    </row>
    <row r="7" spans="1:12" x14ac:dyDescent="0.3">
      <c r="A7" s="22">
        <v>5</v>
      </c>
      <c r="B7" s="24" t="s">
        <v>128</v>
      </c>
      <c r="C7" s="24"/>
      <c r="D7" s="24" t="s">
        <v>129</v>
      </c>
      <c r="E7" s="27" t="s">
        <v>130</v>
      </c>
      <c r="F7" s="24" t="s">
        <v>131</v>
      </c>
      <c r="G7" s="24" t="s">
        <v>132</v>
      </c>
      <c r="H7" s="24"/>
      <c r="I7" s="22"/>
      <c r="J7" s="22"/>
    </row>
    <row r="8" spans="1:12" x14ac:dyDescent="0.3">
      <c r="A8" s="22">
        <v>6</v>
      </c>
      <c r="B8" s="24" t="s">
        <v>133</v>
      </c>
      <c r="C8" s="24"/>
      <c r="D8" s="24" t="s">
        <v>134</v>
      </c>
      <c r="E8" s="27" t="s">
        <v>130</v>
      </c>
      <c r="F8" s="24" t="s">
        <v>135</v>
      </c>
      <c r="G8" s="26" t="s">
        <v>127</v>
      </c>
      <c r="H8" s="24"/>
      <c r="I8" s="22"/>
      <c r="J8" s="22"/>
    </row>
    <row r="9" spans="1:12" x14ac:dyDescent="0.3">
      <c r="A9" s="22">
        <v>7</v>
      </c>
      <c r="B9" s="24" t="s">
        <v>136</v>
      </c>
      <c r="C9" s="24"/>
      <c r="D9" s="24" t="s">
        <v>117</v>
      </c>
      <c r="E9" s="24" t="s">
        <v>121</v>
      </c>
      <c r="F9" s="24" t="s">
        <v>69</v>
      </c>
      <c r="G9" s="26" t="s">
        <v>127</v>
      </c>
      <c r="H9" s="24"/>
      <c r="I9" s="22"/>
      <c r="J9" s="22"/>
    </row>
    <row r="10" spans="1:12" x14ac:dyDescent="0.3">
      <c r="A10" s="22">
        <v>8</v>
      </c>
      <c r="B10" s="24" t="s">
        <v>137</v>
      </c>
      <c r="C10" s="24"/>
      <c r="D10" s="24" t="s">
        <v>129</v>
      </c>
      <c r="E10" s="24" t="s">
        <v>130</v>
      </c>
      <c r="F10" s="24" t="s">
        <v>122</v>
      </c>
      <c r="G10" s="24" t="s">
        <v>132</v>
      </c>
      <c r="H10" s="24"/>
      <c r="I10" s="22"/>
      <c r="J10" s="22"/>
    </row>
    <row r="11" spans="1:12" x14ac:dyDescent="0.3">
      <c r="A11" s="22">
        <v>9</v>
      </c>
      <c r="B11" s="24" t="s">
        <v>138</v>
      </c>
      <c r="C11" s="24"/>
      <c r="D11" s="24" t="s">
        <v>129</v>
      </c>
      <c r="E11" s="24" t="s">
        <v>139</v>
      </c>
      <c r="F11" s="24" t="s">
        <v>140</v>
      </c>
      <c r="G11" s="24" t="s">
        <v>132</v>
      </c>
      <c r="H11" s="24"/>
      <c r="I11" s="22"/>
      <c r="J11" s="22"/>
    </row>
    <row r="13" spans="1:12" x14ac:dyDescent="0.3">
      <c r="B13" s="11" t="s">
        <v>141</v>
      </c>
      <c r="C13" s="11"/>
      <c r="D13" s="11" t="s">
        <v>142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4A4F2-270E-4A5A-A81E-9810656B8A8C}">
  <dimension ref="A1:G3"/>
  <sheetViews>
    <sheetView workbookViewId="0">
      <selection activeCell="F10" sqref="F10"/>
    </sheetView>
  </sheetViews>
  <sheetFormatPr defaultRowHeight="15.05" x14ac:dyDescent="0.3"/>
  <cols>
    <col min="1" max="1" width="17.88671875" customWidth="1"/>
    <col min="2" max="2" width="35" bestFit="1" customWidth="1"/>
    <col min="3" max="6" width="17.88671875" customWidth="1"/>
    <col min="7" max="7" width="26.6640625" bestFit="1" customWidth="1"/>
  </cols>
  <sheetData>
    <row r="1" spans="1:7" ht="15.65" x14ac:dyDescent="0.3">
      <c r="A1" s="19" t="s">
        <v>13</v>
      </c>
      <c r="B1" s="19" t="s">
        <v>16</v>
      </c>
      <c r="C1" s="19" t="s">
        <v>20</v>
      </c>
      <c r="D1" s="19" t="s">
        <v>17</v>
      </c>
      <c r="E1" s="19" t="s">
        <v>18</v>
      </c>
      <c r="F1" s="19" t="s">
        <v>15</v>
      </c>
      <c r="G1" s="19" t="s">
        <v>19</v>
      </c>
    </row>
    <row r="2" spans="1:7" ht="15.65" x14ac:dyDescent="0.3">
      <c r="A2" s="4">
        <v>1</v>
      </c>
      <c r="B2" s="7" t="s">
        <v>12</v>
      </c>
      <c r="C2" s="4" t="s">
        <v>21</v>
      </c>
      <c r="D2" s="9">
        <v>100000</v>
      </c>
      <c r="E2" s="4" t="s">
        <v>22</v>
      </c>
      <c r="F2" s="10">
        <v>46076</v>
      </c>
      <c r="G2" s="7" t="s">
        <v>23</v>
      </c>
    </row>
    <row r="3" spans="1:7" ht="15.65" x14ac:dyDescent="0.3">
      <c r="A3" s="4">
        <v>2</v>
      </c>
      <c r="B3" s="7" t="s">
        <v>77</v>
      </c>
      <c r="C3" s="4" t="s">
        <v>21</v>
      </c>
      <c r="D3" s="9">
        <v>100000</v>
      </c>
      <c r="E3" s="4" t="s">
        <v>129</v>
      </c>
      <c r="F3" s="10" t="s">
        <v>119</v>
      </c>
      <c r="G3" s="7" t="s">
        <v>144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7D015-D627-4129-BB45-30B549A78631}">
  <dimension ref="A1:F11"/>
  <sheetViews>
    <sheetView zoomScaleNormal="100" workbookViewId="0">
      <selection activeCell="C3" sqref="C3"/>
    </sheetView>
  </sheetViews>
  <sheetFormatPr defaultRowHeight="13.15" x14ac:dyDescent="0.3"/>
  <cols>
    <col min="1" max="1" width="8.88671875" style="32"/>
    <col min="2" max="2" width="21.109375" style="32" customWidth="1"/>
    <col min="3" max="3" width="86.5546875" style="27" customWidth="1"/>
    <col min="4" max="4" width="27.33203125" style="27" customWidth="1"/>
    <col min="5" max="5" width="16" style="27" customWidth="1"/>
    <col min="6" max="6" width="17.6640625" style="27" customWidth="1"/>
    <col min="7" max="16384" width="8.88671875" style="27"/>
  </cols>
  <sheetData>
    <row r="1" spans="1:6" ht="15.65" x14ac:dyDescent="0.3">
      <c r="A1" s="19" t="s">
        <v>13</v>
      </c>
      <c r="B1" s="19" t="s">
        <v>145</v>
      </c>
      <c r="C1" s="31" t="s">
        <v>146</v>
      </c>
      <c r="D1" s="19" t="s">
        <v>147</v>
      </c>
      <c r="E1" s="19" t="s">
        <v>18</v>
      </c>
      <c r="F1" s="19" t="s">
        <v>150</v>
      </c>
    </row>
    <row r="2" spans="1:6" ht="210.4" x14ac:dyDescent="0.3">
      <c r="A2" s="32">
        <v>1</v>
      </c>
      <c r="B2" s="33">
        <v>46108</v>
      </c>
      <c r="C2" s="30" t="s">
        <v>152</v>
      </c>
      <c r="D2" s="30" t="s">
        <v>148</v>
      </c>
      <c r="E2" s="27" t="s">
        <v>149</v>
      </c>
      <c r="F2" s="27" t="s">
        <v>151</v>
      </c>
    </row>
    <row r="3" spans="1:6" x14ac:dyDescent="0.3">
      <c r="A3" s="32">
        <v>2</v>
      </c>
      <c r="B3" s="33">
        <f>B2+7</f>
        <v>46115</v>
      </c>
    </row>
    <row r="4" spans="1:6" x14ac:dyDescent="0.3">
      <c r="A4" s="32">
        <v>3</v>
      </c>
      <c r="B4" s="33">
        <f t="shared" ref="B4:B11" si="0">B3+7</f>
        <v>46122</v>
      </c>
    </row>
    <row r="5" spans="1:6" x14ac:dyDescent="0.3">
      <c r="A5" s="32">
        <v>4</v>
      </c>
      <c r="B5" s="33">
        <f t="shared" si="0"/>
        <v>46129</v>
      </c>
    </row>
    <row r="6" spans="1:6" x14ac:dyDescent="0.3">
      <c r="A6" s="32">
        <v>5</v>
      </c>
      <c r="B6" s="33">
        <f t="shared" si="0"/>
        <v>46136</v>
      </c>
    </row>
    <row r="7" spans="1:6" x14ac:dyDescent="0.3">
      <c r="A7" s="32">
        <v>6</v>
      </c>
      <c r="B7" s="33">
        <f t="shared" si="0"/>
        <v>46143</v>
      </c>
    </row>
    <row r="8" spans="1:6" x14ac:dyDescent="0.3">
      <c r="A8" s="32">
        <v>7</v>
      </c>
      <c r="B8" s="33">
        <f t="shared" si="0"/>
        <v>46150</v>
      </c>
    </row>
    <row r="9" spans="1:6" x14ac:dyDescent="0.3">
      <c r="A9" s="32">
        <v>8</v>
      </c>
      <c r="B9" s="33">
        <f t="shared" si="0"/>
        <v>46157</v>
      </c>
    </row>
    <row r="10" spans="1:6" x14ac:dyDescent="0.3">
      <c r="A10" s="32">
        <v>9</v>
      </c>
      <c r="B10" s="33">
        <f t="shared" si="0"/>
        <v>46164</v>
      </c>
    </row>
    <row r="11" spans="1:6" x14ac:dyDescent="0.3">
      <c r="A11" s="32">
        <v>10</v>
      </c>
      <c r="B11" s="33">
        <f t="shared" si="0"/>
        <v>46171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55BF7-286A-44B1-B737-01D79C8CCD3A}">
  <dimension ref="A1:H13"/>
  <sheetViews>
    <sheetView workbookViewId="0">
      <selection sqref="A1:H2"/>
    </sheetView>
  </sheetViews>
  <sheetFormatPr defaultRowHeight="13.15" x14ac:dyDescent="0.25"/>
  <cols>
    <col min="1" max="1" width="6.109375" style="37" customWidth="1"/>
    <col min="2" max="2" width="24.44140625" style="15" bestFit="1" customWidth="1"/>
    <col min="3" max="8" width="21.44140625" style="15" customWidth="1"/>
    <col min="9" max="16384" width="8.88671875" style="15"/>
  </cols>
  <sheetData>
    <row r="1" spans="1:8" x14ac:dyDescent="0.25">
      <c r="A1" s="35" t="s">
        <v>13</v>
      </c>
      <c r="B1" s="35" t="s">
        <v>145</v>
      </c>
      <c r="C1" s="36" t="s">
        <v>153</v>
      </c>
      <c r="D1" s="35" t="s">
        <v>154</v>
      </c>
      <c r="E1" s="35" t="s">
        <v>155</v>
      </c>
      <c r="F1" s="35" t="s">
        <v>18</v>
      </c>
      <c r="G1" s="35" t="s">
        <v>157</v>
      </c>
      <c r="H1" s="35" t="s">
        <v>156</v>
      </c>
    </row>
    <row r="2" spans="1:8" x14ac:dyDescent="0.25">
      <c r="A2" s="37">
        <v>1</v>
      </c>
      <c r="B2" s="34">
        <v>46097</v>
      </c>
    </row>
    <row r="3" spans="1:8" x14ac:dyDescent="0.25">
      <c r="A3" s="37">
        <v>2</v>
      </c>
      <c r="B3" s="34">
        <f>B2+30</f>
        <v>46127</v>
      </c>
    </row>
    <row r="4" spans="1:8" x14ac:dyDescent="0.25">
      <c r="A4" s="37">
        <v>3</v>
      </c>
      <c r="B4" s="34">
        <f t="shared" ref="B4:B13" si="0">B3+30</f>
        <v>46157</v>
      </c>
    </row>
    <row r="5" spans="1:8" x14ac:dyDescent="0.25">
      <c r="A5" s="37">
        <v>4</v>
      </c>
      <c r="B5" s="34">
        <f t="shared" si="0"/>
        <v>46187</v>
      </c>
    </row>
    <row r="6" spans="1:8" x14ac:dyDescent="0.25">
      <c r="A6" s="37">
        <v>5</v>
      </c>
      <c r="B6" s="34">
        <f t="shared" si="0"/>
        <v>46217</v>
      </c>
    </row>
    <row r="7" spans="1:8" x14ac:dyDescent="0.25">
      <c r="A7" s="37">
        <v>6</v>
      </c>
      <c r="B7" s="34">
        <f t="shared" si="0"/>
        <v>46247</v>
      </c>
    </row>
    <row r="8" spans="1:8" x14ac:dyDescent="0.25">
      <c r="A8" s="37">
        <v>7</v>
      </c>
      <c r="B8" s="34">
        <f t="shared" si="0"/>
        <v>46277</v>
      </c>
    </row>
    <row r="9" spans="1:8" x14ac:dyDescent="0.25">
      <c r="A9" s="37">
        <v>8</v>
      </c>
      <c r="B9" s="34">
        <f t="shared" si="0"/>
        <v>46307</v>
      </c>
    </row>
    <row r="10" spans="1:8" x14ac:dyDescent="0.25">
      <c r="A10" s="37">
        <v>9</v>
      </c>
      <c r="B10" s="34">
        <f t="shared" si="0"/>
        <v>46337</v>
      </c>
    </row>
    <row r="11" spans="1:8" x14ac:dyDescent="0.25">
      <c r="A11" s="37">
        <v>10</v>
      </c>
      <c r="B11" s="34">
        <f t="shared" si="0"/>
        <v>46367</v>
      </c>
    </row>
    <row r="12" spans="1:8" x14ac:dyDescent="0.25">
      <c r="A12" s="37">
        <v>11</v>
      </c>
      <c r="B12" s="34">
        <f t="shared" si="0"/>
        <v>46397</v>
      </c>
    </row>
    <row r="13" spans="1:8" x14ac:dyDescent="0.25">
      <c r="A13" s="37">
        <v>12</v>
      </c>
      <c r="B13" s="34">
        <f t="shared" si="0"/>
        <v>46427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C1FC8-1D4B-4366-A150-4BDE8AB14964}">
  <dimension ref="A1:P19"/>
  <sheetViews>
    <sheetView tabSelected="1" topLeftCell="D1" zoomScale="85" zoomScaleNormal="85" workbookViewId="0">
      <selection activeCell="P15" sqref="P15"/>
    </sheetView>
  </sheetViews>
  <sheetFormatPr defaultRowHeight="15.05" x14ac:dyDescent="0.3"/>
  <cols>
    <col min="1" max="1" width="8.88671875" style="42"/>
    <col min="2" max="2" width="12.77734375" style="42" customWidth="1"/>
    <col min="3" max="3" width="10.33203125" style="46" customWidth="1"/>
    <col min="4" max="4" width="24.5546875" style="47" customWidth="1"/>
    <col min="5" max="5" width="12.33203125" style="42" customWidth="1"/>
    <col min="6" max="8" width="18.109375" style="47" customWidth="1"/>
    <col min="9" max="9" width="20.88671875" style="42" customWidth="1"/>
    <col min="10" max="16" width="12.6640625" style="42" customWidth="1"/>
    <col min="17" max="16384" width="8.88671875" style="42"/>
  </cols>
  <sheetData>
    <row r="1" spans="1:16" ht="26.3" x14ac:dyDescent="0.3">
      <c r="A1" s="40" t="s">
        <v>13</v>
      </c>
      <c r="B1" s="40" t="s">
        <v>167</v>
      </c>
      <c r="C1" s="40" t="s">
        <v>161</v>
      </c>
      <c r="D1" s="41" t="s">
        <v>162</v>
      </c>
      <c r="E1" s="40" t="s">
        <v>163</v>
      </c>
      <c r="F1" s="41" t="s">
        <v>169</v>
      </c>
      <c r="G1" s="41" t="s">
        <v>170</v>
      </c>
      <c r="H1" s="41" t="s">
        <v>171</v>
      </c>
      <c r="I1" s="41" t="s">
        <v>172</v>
      </c>
      <c r="J1" s="48" t="s">
        <v>174</v>
      </c>
      <c r="K1" s="48"/>
      <c r="L1" s="48" t="s">
        <v>174</v>
      </c>
      <c r="M1" s="48"/>
      <c r="N1" s="41" t="s">
        <v>181</v>
      </c>
      <c r="O1" s="41" t="s">
        <v>182</v>
      </c>
      <c r="P1" s="41" t="s">
        <v>183</v>
      </c>
    </row>
    <row r="2" spans="1:16" s="27" customFormat="1" ht="13.15" x14ac:dyDescent="0.3">
      <c r="C2" s="32"/>
      <c r="D2" s="30"/>
      <c r="F2" s="30"/>
      <c r="G2" s="30"/>
      <c r="H2" s="30"/>
      <c r="K2" s="43" t="s">
        <v>175</v>
      </c>
      <c r="L2" s="43"/>
      <c r="M2" s="43" t="s">
        <v>176</v>
      </c>
    </row>
    <row r="3" spans="1:16" s="27" customFormat="1" ht="13.15" x14ac:dyDescent="0.3">
      <c r="A3" s="32"/>
      <c r="B3" s="39"/>
      <c r="C3" s="32"/>
      <c r="D3" s="30"/>
      <c r="F3" s="30"/>
      <c r="G3" s="30"/>
      <c r="H3" s="30"/>
      <c r="K3" s="27" t="s">
        <v>178</v>
      </c>
      <c r="M3" s="27" t="s">
        <v>179</v>
      </c>
    </row>
    <row r="4" spans="1:16" s="27" customFormat="1" ht="13.15" x14ac:dyDescent="0.3">
      <c r="A4" s="32">
        <v>0</v>
      </c>
      <c r="B4" s="39" t="s">
        <v>166</v>
      </c>
      <c r="C4" s="32" t="s">
        <v>165</v>
      </c>
      <c r="D4" s="30" t="s">
        <v>164</v>
      </c>
      <c r="E4" s="27">
        <v>0</v>
      </c>
      <c r="F4" s="30"/>
      <c r="G4" s="30"/>
      <c r="H4" s="30"/>
      <c r="J4" s="27" t="s">
        <v>180</v>
      </c>
      <c r="L4" s="27" t="s">
        <v>180</v>
      </c>
    </row>
    <row r="5" spans="1:16" s="27" customFormat="1" ht="26.3" x14ac:dyDescent="0.3">
      <c r="A5" s="32">
        <v>1</v>
      </c>
      <c r="B5" s="39">
        <v>46079</v>
      </c>
      <c r="C5" s="32">
        <v>1</v>
      </c>
      <c r="D5" s="30" t="str">
        <f>'AI Training Tracker'!B2</f>
        <v>AI Exec Briefing &amp; Discovery Workshop</v>
      </c>
      <c r="E5" s="44">
        <f>Sales!D3</f>
        <v>100000</v>
      </c>
      <c r="F5" s="45" t="s">
        <v>168</v>
      </c>
      <c r="G5" s="45" t="s">
        <v>168</v>
      </c>
      <c r="H5" s="45" t="s">
        <v>168</v>
      </c>
      <c r="I5" s="45" t="s">
        <v>173</v>
      </c>
      <c r="J5" s="45"/>
      <c r="K5" s="45" t="s">
        <v>177</v>
      </c>
      <c r="L5" s="45"/>
      <c r="M5" s="27">
        <f>0.25*10^7/12/9/22</f>
        <v>1052.1885521885522</v>
      </c>
    </row>
    <row r="6" spans="1:16" s="27" customFormat="1" ht="13.15" x14ac:dyDescent="0.3">
      <c r="A6" s="32">
        <v>2</v>
      </c>
      <c r="B6" s="39">
        <v>46082</v>
      </c>
      <c r="C6" s="32">
        <v>15</v>
      </c>
      <c r="D6" s="30"/>
      <c r="E6" s="44">
        <f>Sales!D4/12</f>
        <v>100000</v>
      </c>
      <c r="F6" s="45">
        <v>1000</v>
      </c>
      <c r="G6" s="45">
        <v>0</v>
      </c>
      <c r="H6" s="45">
        <v>0</v>
      </c>
      <c r="I6" s="27">
        <f>10000+5000</f>
        <v>15000</v>
      </c>
      <c r="J6" s="27">
        <f>0</f>
        <v>0</v>
      </c>
      <c r="K6" s="27">
        <v>0</v>
      </c>
      <c r="L6" s="27">
        <v>10</v>
      </c>
      <c r="M6" s="27">
        <f>L6*2200</f>
        <v>22000</v>
      </c>
      <c r="N6" s="27">
        <f>SUM(F6:H6)+I6+M6</f>
        <v>38000</v>
      </c>
      <c r="O6" s="44">
        <f>E6-N6</f>
        <v>62000</v>
      </c>
      <c r="P6" s="49">
        <f>O6/E6</f>
        <v>0.62</v>
      </c>
    </row>
    <row r="7" spans="1:16" s="27" customFormat="1" ht="26.3" x14ac:dyDescent="0.3">
      <c r="A7" s="32">
        <v>3</v>
      </c>
      <c r="B7" s="39">
        <v>46113</v>
      </c>
      <c r="C7" s="32">
        <v>30</v>
      </c>
      <c r="D7" s="30"/>
      <c r="F7" s="45" t="s">
        <v>168</v>
      </c>
      <c r="G7" s="45" t="s">
        <v>168</v>
      </c>
      <c r="H7" s="45" t="s">
        <v>168</v>
      </c>
    </row>
    <row r="8" spans="1:16" s="27" customFormat="1" ht="26.3" x14ac:dyDescent="0.3">
      <c r="A8" s="32">
        <v>4</v>
      </c>
      <c r="B8" s="39">
        <v>46143</v>
      </c>
      <c r="C8" s="32">
        <v>30</v>
      </c>
      <c r="D8" s="30"/>
      <c r="F8" s="45" t="s">
        <v>168</v>
      </c>
      <c r="G8" s="45" t="s">
        <v>168</v>
      </c>
      <c r="H8" s="45" t="s">
        <v>168</v>
      </c>
    </row>
    <row r="9" spans="1:16" s="27" customFormat="1" ht="26.3" x14ac:dyDescent="0.3">
      <c r="A9" s="32">
        <v>5</v>
      </c>
      <c r="B9" s="39">
        <v>46174</v>
      </c>
      <c r="C9" s="32">
        <v>30</v>
      </c>
      <c r="D9" s="30"/>
      <c r="F9" s="45" t="s">
        <v>168</v>
      </c>
      <c r="G9" s="45" t="s">
        <v>168</v>
      </c>
      <c r="H9" s="45" t="s">
        <v>168</v>
      </c>
    </row>
    <row r="10" spans="1:16" s="27" customFormat="1" ht="26.3" x14ac:dyDescent="0.3">
      <c r="A10" s="32">
        <v>6</v>
      </c>
      <c r="B10" s="39">
        <v>46204</v>
      </c>
      <c r="C10" s="32">
        <v>30</v>
      </c>
      <c r="D10" s="30"/>
      <c r="F10" s="45" t="s">
        <v>168</v>
      </c>
      <c r="G10" s="45" t="s">
        <v>168</v>
      </c>
      <c r="H10" s="45" t="s">
        <v>168</v>
      </c>
    </row>
    <row r="11" spans="1:16" s="27" customFormat="1" ht="26.3" x14ac:dyDescent="0.3">
      <c r="A11" s="32">
        <v>7</v>
      </c>
      <c r="B11" s="39">
        <v>46235</v>
      </c>
      <c r="C11" s="32">
        <v>30</v>
      </c>
      <c r="D11" s="30"/>
      <c r="F11" s="45" t="s">
        <v>168</v>
      </c>
      <c r="G11" s="45" t="s">
        <v>168</v>
      </c>
      <c r="H11" s="45" t="s">
        <v>168</v>
      </c>
    </row>
    <row r="12" spans="1:16" s="27" customFormat="1" ht="26.3" x14ac:dyDescent="0.3">
      <c r="A12" s="32">
        <v>8</v>
      </c>
      <c r="B12" s="39">
        <v>46266</v>
      </c>
      <c r="C12" s="32">
        <v>30</v>
      </c>
      <c r="D12" s="30"/>
      <c r="F12" s="45" t="s">
        <v>168</v>
      </c>
      <c r="G12" s="45" t="s">
        <v>168</v>
      </c>
      <c r="H12" s="45" t="s">
        <v>168</v>
      </c>
    </row>
    <row r="13" spans="1:16" s="27" customFormat="1" ht="26.3" x14ac:dyDescent="0.3">
      <c r="A13" s="32">
        <v>9</v>
      </c>
      <c r="B13" s="39">
        <v>46296</v>
      </c>
      <c r="C13" s="32">
        <v>30</v>
      </c>
      <c r="D13" s="30"/>
      <c r="F13" s="45" t="s">
        <v>168</v>
      </c>
      <c r="G13" s="45" t="s">
        <v>168</v>
      </c>
      <c r="H13" s="45" t="s">
        <v>168</v>
      </c>
    </row>
    <row r="14" spans="1:16" s="27" customFormat="1" ht="26.3" x14ac:dyDescent="0.3">
      <c r="A14" s="32">
        <v>10</v>
      </c>
      <c r="B14" s="39">
        <v>46327</v>
      </c>
      <c r="C14" s="32">
        <v>30</v>
      </c>
      <c r="D14" s="30"/>
      <c r="F14" s="45" t="s">
        <v>168</v>
      </c>
      <c r="G14" s="45" t="s">
        <v>168</v>
      </c>
      <c r="H14" s="45" t="s">
        <v>168</v>
      </c>
    </row>
    <row r="15" spans="1:16" s="27" customFormat="1" ht="26.3" x14ac:dyDescent="0.3">
      <c r="A15" s="32">
        <v>12</v>
      </c>
      <c r="B15" s="39">
        <v>46357</v>
      </c>
      <c r="C15" s="32">
        <v>30</v>
      </c>
      <c r="D15" s="30"/>
      <c r="F15" s="45" t="s">
        <v>168</v>
      </c>
      <c r="G15" s="45" t="s">
        <v>168</v>
      </c>
      <c r="H15" s="45" t="s">
        <v>168</v>
      </c>
    </row>
    <row r="16" spans="1:16" s="27" customFormat="1" ht="26.3" x14ac:dyDescent="0.3">
      <c r="A16" s="32">
        <v>13</v>
      </c>
      <c r="B16" s="39">
        <v>46388</v>
      </c>
      <c r="C16" s="32">
        <v>30</v>
      </c>
      <c r="D16" s="30"/>
      <c r="F16" s="45" t="s">
        <v>168</v>
      </c>
      <c r="G16" s="45" t="s">
        <v>168</v>
      </c>
      <c r="H16" s="45" t="s">
        <v>168</v>
      </c>
    </row>
    <row r="17" spans="1:8" s="27" customFormat="1" ht="26.3" x14ac:dyDescent="0.3">
      <c r="A17" s="32">
        <v>14</v>
      </c>
      <c r="B17" s="39">
        <v>46419</v>
      </c>
      <c r="C17" s="32">
        <v>30</v>
      </c>
      <c r="D17" s="30"/>
      <c r="F17" s="45" t="s">
        <v>168</v>
      </c>
      <c r="G17" s="45" t="s">
        <v>168</v>
      </c>
      <c r="H17" s="45" t="s">
        <v>168</v>
      </c>
    </row>
    <row r="18" spans="1:8" s="27" customFormat="1" ht="13.15" x14ac:dyDescent="0.3">
      <c r="B18" s="38"/>
      <c r="C18" s="32"/>
      <c r="D18" s="30"/>
      <c r="F18" s="30"/>
      <c r="G18" s="30"/>
      <c r="H18" s="30"/>
    </row>
    <row r="19" spans="1:8" x14ac:dyDescent="0.3">
      <c r="B19" s="38"/>
    </row>
  </sheetData>
  <mergeCells count="2">
    <mergeCell ref="J1:K1"/>
    <mergeCell ref="L1:M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28403-DBE7-48CC-A604-6864CF539347}">
  <dimension ref="A1"/>
  <sheetViews>
    <sheetView workbookViewId="0"/>
  </sheetViews>
  <sheetFormatPr defaultRowHeight="15.05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Sales</vt:lpstr>
      <vt:lpstr>AI Usecases Tracker</vt:lpstr>
      <vt:lpstr>AI Training Tracker</vt:lpstr>
      <vt:lpstr>Weekly Email Report</vt:lpstr>
      <vt:lpstr>Monthly Exec Review</vt:lpstr>
      <vt:lpstr>Cost Tracker</vt:lpstr>
      <vt:lpstr>Sheet8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Hrishikesh D Sherlekar</dc:creator>
  <cp:lastModifiedBy>Hrishikesh D Sherlekar</cp:lastModifiedBy>
  <dcterms:created xsi:type="dcterms:W3CDTF">2026-03-26T03:58:20Z</dcterms:created>
  <dcterms:modified xsi:type="dcterms:W3CDTF">2026-03-26T05:44:45Z</dcterms:modified>
</cp:coreProperties>
</file>